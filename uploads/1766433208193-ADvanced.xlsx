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souvi\OneDrive\Desktop\"/>
    </mc:Choice>
  </mc:AlternateContent>
  <xr:revisionPtr revIDLastSave="0" documentId="13_ncr:1_{8C0D8CAB-8D72-477B-8100-067C19D27323}" xr6:coauthVersionLast="47" xr6:coauthVersionMax="47" xr10:uidLastSave="{00000000-0000-0000-0000-000000000000}"/>
  <bookViews>
    <workbookView xWindow="-108" yWindow="348" windowWidth="23256" windowHeight="12720" activeTab="1" xr2:uid="{4A0E7192-1D8E-4C1B-861A-0597BD22B1A7}"/>
  </bookViews>
  <sheets>
    <sheet name="Basics" sheetId="1" r:id="rId1"/>
    <sheet name="Basics 2" sheetId="2" r:id="rId2"/>
    <sheet name="Sheet2" sheetId="4" r:id="rId3"/>
    <sheet name="Sheet3" sheetId="5" r:id="rId4"/>
    <sheet name="Names" sheetId="3" r:id="rId5"/>
  </sheets>
  <definedNames>
    <definedName name="_xlnm._FilterDatabase" localSheetId="0" hidden="1">Basics!$J$3:$J$9</definedName>
    <definedName name="_xlnm._FilterDatabase" localSheetId="1" hidden="1">'Basics 2'!$A$2:$I$16</definedName>
    <definedName name="Slicer_Class">#N/A</definedName>
    <definedName name="Slicer_Unit_Test_2">#N/A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0" i="2" l="1"/>
  <c r="L21" i="2"/>
  <c r="L19" i="2"/>
  <c r="M15" i="2"/>
  <c r="M16" i="2"/>
  <c r="M14" i="2"/>
  <c r="M13" i="2"/>
  <c r="L14" i="2"/>
  <c r="L15" i="2"/>
  <c r="L16" i="2"/>
  <c r="L13" i="2"/>
  <c r="J4" i="1"/>
  <c r="J5" i="1"/>
  <c r="I5" i="1"/>
  <c r="H5" i="1"/>
  <c r="J8" i="1"/>
  <c r="J6" i="1"/>
  <c r="J7" i="1"/>
  <c r="I7" i="1"/>
  <c r="I8" i="1"/>
  <c r="I6" i="1"/>
  <c r="H8" i="1"/>
  <c r="H6" i="1"/>
  <c r="H4" i="1"/>
  <c r="H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Stranger 07</author>
  </authors>
  <commentList>
    <comment ref="I11" authorId="0" shapeId="0" xr:uid="{1B88E521-63A5-4E68-9665-61137E87752E}">
      <text>
        <r>
          <rPr>
            <b/>
            <sz val="9"/>
            <color indexed="81"/>
            <rFont val="Tahoma"/>
            <family val="2"/>
          </rPr>
          <t>Stranger 07:</t>
        </r>
        <r>
          <rPr>
            <sz val="9"/>
            <color indexed="81"/>
            <rFont val="Tahoma"/>
            <family val="2"/>
          </rPr>
          <t xml:space="preserve">
Mail not working
</t>
        </r>
      </text>
    </comment>
    <comment ref="I12" authorId="0" shapeId="0" xr:uid="{96595ED9-09E3-44A8-B952-2EC1BF0A889B}">
      <text>
        <r>
          <rPr>
            <b/>
            <sz val="9"/>
            <color indexed="81"/>
            <rFont val="Tahoma"/>
            <family val="2"/>
          </rPr>
          <t>Stranger 07:</t>
        </r>
        <r>
          <rPr>
            <sz val="9"/>
            <color indexed="81"/>
            <rFont val="Tahoma"/>
            <family val="2"/>
          </rPr>
          <t xml:space="preserve">
Invalid mail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Stranger 07</author>
  </authors>
  <commentList>
    <comment ref="A11" authorId="0" shapeId="0" xr:uid="{65E3E03C-B59B-4696-B01F-717506FEE574}">
      <text>
        <r>
          <rPr>
            <b/>
            <sz val="9"/>
            <color indexed="81"/>
            <rFont val="Tahoma"/>
            <family val="2"/>
          </rPr>
          <t>Stranger 07:</t>
        </r>
        <r>
          <rPr>
            <sz val="9"/>
            <color indexed="81"/>
            <rFont val="Tahoma"/>
            <family val="2"/>
          </rPr>
          <t xml:space="preserve">
Mail not working
</t>
        </r>
      </text>
    </comment>
    <comment ref="C11" authorId="0" shapeId="0" xr:uid="{7F2A513E-74D9-4595-9B03-F71360F873DA}">
      <text>
        <r>
          <rPr>
            <b/>
            <sz val="9"/>
            <color indexed="81"/>
            <rFont val="Tahoma"/>
            <family val="2"/>
          </rPr>
          <t>Stranger 07:</t>
        </r>
        <r>
          <rPr>
            <sz val="9"/>
            <color indexed="81"/>
            <rFont val="Tahoma"/>
            <family val="2"/>
          </rPr>
          <t xml:space="preserve">
Mail not working
</t>
        </r>
      </text>
    </comment>
    <comment ref="A12" authorId="0" shapeId="0" xr:uid="{E4CBB729-79B8-495E-8ABE-72C7F755F142}">
      <text>
        <r>
          <rPr>
            <b/>
            <sz val="9"/>
            <color indexed="81"/>
            <rFont val="Tahoma"/>
            <family val="2"/>
          </rPr>
          <t>Stranger 07:</t>
        </r>
        <r>
          <rPr>
            <sz val="9"/>
            <color indexed="81"/>
            <rFont val="Tahoma"/>
            <family val="2"/>
          </rPr>
          <t xml:space="preserve">
Invalid mail</t>
        </r>
      </text>
    </comment>
    <comment ref="C12" authorId="0" shapeId="0" xr:uid="{55F81118-01A3-46F6-BF79-0D26CC771C6A}">
      <text>
        <r>
          <rPr>
            <b/>
            <sz val="9"/>
            <color indexed="81"/>
            <rFont val="Tahoma"/>
            <family val="2"/>
          </rPr>
          <t>Stranger 07:</t>
        </r>
        <r>
          <rPr>
            <sz val="9"/>
            <color indexed="81"/>
            <rFont val="Tahoma"/>
            <family val="2"/>
          </rPr>
          <t xml:space="preserve">
Invalid mail</t>
        </r>
      </text>
    </comment>
  </commentList>
</comments>
</file>

<file path=xl/sharedStrings.xml><?xml version="1.0" encoding="utf-8"?>
<sst xmlns="http://schemas.openxmlformats.org/spreadsheetml/2006/main" count="161" uniqueCount="84">
  <si>
    <t>S No</t>
  </si>
  <si>
    <t>First Name</t>
  </si>
  <si>
    <t>Last Name</t>
  </si>
  <si>
    <t>DOJ</t>
  </si>
  <si>
    <t>01 Salary</t>
  </si>
  <si>
    <t>02 Salary</t>
  </si>
  <si>
    <t>03 Salary</t>
  </si>
  <si>
    <t>Avg Sal</t>
  </si>
  <si>
    <t>Sal Total</t>
  </si>
  <si>
    <t>Full Name</t>
  </si>
  <si>
    <t>RNM</t>
  </si>
  <si>
    <t>KUMAR</t>
  </si>
  <si>
    <t>GOPAL</t>
  </si>
  <si>
    <t>VERMA</t>
  </si>
  <si>
    <t>JOSEPH</t>
  </si>
  <si>
    <t>PAUL</t>
  </si>
  <si>
    <t>SINGH</t>
  </si>
  <si>
    <t>HARI</t>
  </si>
  <si>
    <t>RAJA</t>
  </si>
  <si>
    <t>RAM</t>
  </si>
  <si>
    <t>03 09 2020</t>
  </si>
  <si>
    <t>26-01-2015</t>
  </si>
  <si>
    <t>29-10-2018</t>
  </si>
  <si>
    <t>17-08-2017</t>
  </si>
  <si>
    <t>19-03-2012</t>
  </si>
  <si>
    <t>Employee Salary Description</t>
  </si>
  <si>
    <t xml:space="preserve">Something big coming soon </t>
  </si>
  <si>
    <t>basic completed</t>
  </si>
  <si>
    <t>Name</t>
  </si>
  <si>
    <t>Gender</t>
  </si>
  <si>
    <t>Age</t>
  </si>
  <si>
    <t>Class</t>
  </si>
  <si>
    <t>House</t>
  </si>
  <si>
    <t>Unit Test 1</t>
  </si>
  <si>
    <t>Unit Test 2</t>
  </si>
  <si>
    <t>Final Test</t>
  </si>
  <si>
    <t>Email</t>
  </si>
  <si>
    <t>Abhimanyu</t>
  </si>
  <si>
    <t>Arjun</t>
  </si>
  <si>
    <t>Champa</t>
  </si>
  <si>
    <t>Gopal</t>
  </si>
  <si>
    <t>Gopi</t>
  </si>
  <si>
    <t>Hari</t>
  </si>
  <si>
    <t>Indu</t>
  </si>
  <si>
    <t>Keshav</t>
  </si>
  <si>
    <t>lalita</t>
  </si>
  <si>
    <t>madhav</t>
  </si>
  <si>
    <t>Sudevi</t>
  </si>
  <si>
    <t>Visakha</t>
  </si>
  <si>
    <t>Vrinda</t>
  </si>
  <si>
    <t>Bhoomi</t>
  </si>
  <si>
    <t>Vayu</t>
  </si>
  <si>
    <t>Jal</t>
  </si>
  <si>
    <t>Agni</t>
  </si>
  <si>
    <t>Abhimanyu@gmail.com</t>
  </si>
  <si>
    <t>Arjun@gmail.com</t>
  </si>
  <si>
    <t>Champa@gmail.com</t>
  </si>
  <si>
    <t>Gopal@gmail.com</t>
  </si>
  <si>
    <t>Gopi@gmail.com</t>
  </si>
  <si>
    <t>Hari@gmail.com</t>
  </si>
  <si>
    <t>Indu@gmail.com</t>
  </si>
  <si>
    <t>Keshav@gmail.com</t>
  </si>
  <si>
    <t>lalita@gmail.com</t>
  </si>
  <si>
    <t>madhav@gmail.com</t>
  </si>
  <si>
    <t>RNM@gmail.com</t>
  </si>
  <si>
    <t>Sudevi@gmail.com</t>
  </si>
  <si>
    <t>Visakha@gmail.com</t>
  </si>
  <si>
    <t>Vrinda@gmail.com</t>
  </si>
  <si>
    <t>RNM SCHOOL DATA</t>
  </si>
  <si>
    <t>M</t>
  </si>
  <si>
    <t>F</t>
  </si>
  <si>
    <t>.</t>
  </si>
  <si>
    <t>sampark</t>
  </si>
  <si>
    <t>roshan</t>
  </si>
  <si>
    <t>vinay</t>
  </si>
  <si>
    <t>diya</t>
  </si>
  <si>
    <t>masks</t>
  </si>
  <si>
    <t>name</t>
  </si>
  <si>
    <t>grade</t>
  </si>
  <si>
    <t>Column1</t>
  </si>
  <si>
    <t>Column2</t>
  </si>
  <si>
    <t>test 1 result</t>
  </si>
  <si>
    <t>Final result</t>
  </si>
  <si>
    <t>find out the emails of specifies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</si>
</sst>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theme="1"/>
      <name val="Arial"/>
      <family val="2"/>
    </font>
    <font>
      <u/>
      <sz val="11"/>
      <color theme="10"/>
      <name val="Calibri"/>
      <family val="2"/>
      <scheme val="minor"/>
    </font>
    <font>
      <sz val="9"/>
      <color indexed="81"/>
      <name val="Tahoma"/>
      <family val="2"/>
    </font>
    <font>
      <b/>
      <sz val="9"/>
      <color indexed="81"/>
      <name val="Tahoma"/>
      <family val="2"/>
    </font>
    <font>
      <u/>
      <sz val="11"/>
      <color theme="4"/>
      <name val="Calibri"/>
      <family val="2"/>
      <scheme val="minor"/>
    </font>
    <font>
      <sz val="8"/>
      <name val="Calibri"/>
      <family val="2"/>
      <scheme val="minor"/>
    </font>
    <font>
      <b/>
      <sz val="11"/>
      <color theme="0"/>
      <name val="Calibri"/>
      <family val="2"/>
      <scheme val="minor"/>
    </font>
    <font>
      <b/>
      <u/>
      <sz val="11"/>
      <color theme="10"/>
      <name val="Calibri"/>
      <family val="2"/>
      <scheme val="minor"/>
    </font>
  </fonts>
  <fills count="9">
    <fill>
      <patternFill patternType="none"/>
    </fill>
    <fill>
      <patternFill patternType="gray125"/>
    </fill>
    <fill>
      <patternFill patternType="solid">
        <fgColor theme="5" tint="0.39997558519241921"/>
        <bgColor indexed="64"/>
      </patternFill>
    </fill>
    <fill>
      <patternFill patternType="solid">
        <fgColor theme="4" tint="0.59999389629810485"/>
        <bgColor indexed="64"/>
      </patternFill>
    </fill>
    <fill>
      <patternFill patternType="solid">
        <fgColor theme="6"/>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0" tint="-0.14999847407452621"/>
        <bgColor theme="0" tint="-0.14999847407452621"/>
      </patternFill>
    </fill>
    <fill>
      <patternFill patternType="solid">
        <fgColor theme="4"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theme="1"/>
      </bottom>
      <diagonal/>
    </border>
    <border>
      <left style="thin">
        <color indexed="64"/>
      </left>
      <right style="thin">
        <color indexed="64"/>
      </right>
      <top style="medium">
        <color indexed="64"/>
      </top>
      <bottom style="thin">
        <color theme="1"/>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43">
    <xf numFmtId="0" fontId="0" fillId="0" borderId="0" xfId="0"/>
    <xf numFmtId="0" fontId="0" fillId="2" borderId="1" xfId="0" applyFill="1" applyBorder="1" applyAlignment="1">
      <alignment horizontal="center"/>
    </xf>
    <xf numFmtId="0" fontId="0" fillId="0" borderId="1" xfId="0" applyBorder="1" applyAlignment="1">
      <alignment horizontal="center"/>
    </xf>
    <xf numFmtId="1" fontId="0" fillId="0" borderId="1" xfId="0" applyNumberFormat="1" applyBorder="1" applyAlignment="1">
      <alignment horizontal="center"/>
    </xf>
    <xf numFmtId="0" fontId="0" fillId="0" borderId="1" xfId="0" applyBorder="1"/>
    <xf numFmtId="0" fontId="0" fillId="0" borderId="0" xfId="0" applyAlignment="1">
      <alignment wrapText="1"/>
    </xf>
    <xf numFmtId="0" fontId="0" fillId="4" borderId="0" xfId="0" applyFill="1"/>
    <xf numFmtId="0" fontId="0" fillId="0" borderId="1" xfId="0" applyBorder="1" applyAlignment="1">
      <alignment horizontal="center" vertical="center"/>
    </xf>
    <xf numFmtId="0" fontId="3" fillId="0" borderId="1" xfId="1" applyBorder="1" applyAlignment="1">
      <alignment horizontal="center" vertical="center"/>
    </xf>
    <xf numFmtId="0" fontId="6" fillId="0" borderId="1" xfId="1" applyFont="1" applyBorder="1" applyAlignment="1">
      <alignment horizontal="center" vertical="center"/>
    </xf>
    <xf numFmtId="0" fontId="0" fillId="0" borderId="1" xfId="0" applyBorder="1" applyAlignment="1">
      <alignment horizontal="left" vertical="center"/>
    </xf>
    <xf numFmtId="0" fontId="1" fillId="5" borderId="12" xfId="0" applyFont="1" applyFill="1" applyBorder="1" applyAlignment="1">
      <alignment horizontal="center" vertical="center"/>
    </xf>
    <xf numFmtId="0" fontId="1" fillId="5" borderId="13" xfId="0" applyFont="1" applyFill="1" applyBorder="1" applyAlignment="1">
      <alignment horizontal="center" vertical="center"/>
    </xf>
    <xf numFmtId="0" fontId="0" fillId="0" borderId="14" xfId="0" applyBorder="1" applyAlignment="1">
      <alignment horizontal="left" vertical="center"/>
    </xf>
    <xf numFmtId="0" fontId="0" fillId="0" borderId="14" xfId="0" applyBorder="1" applyAlignment="1">
      <alignment horizontal="center" vertical="center"/>
    </xf>
    <xf numFmtId="0" fontId="3" fillId="0" borderId="14" xfId="1" applyBorder="1" applyAlignment="1">
      <alignment horizontal="center" vertical="center"/>
    </xf>
    <xf numFmtId="0" fontId="3" fillId="0" borderId="15" xfId="1" applyBorder="1" applyAlignment="1">
      <alignment horizontal="center" vertical="center"/>
    </xf>
    <xf numFmtId="0" fontId="0" fillId="8" borderId="0" xfId="0" applyFill="1"/>
    <xf numFmtId="0" fontId="1" fillId="5" borderId="1" xfId="0" applyFont="1" applyFill="1" applyBorder="1" applyAlignment="1">
      <alignment horizontal="center" vertical="center"/>
    </xf>
    <xf numFmtId="0" fontId="3" fillId="5" borderId="11" xfId="1" applyFill="1" applyBorder="1" applyAlignment="1">
      <alignment horizontal="center" vertical="center"/>
    </xf>
    <xf numFmtId="0" fontId="8" fillId="5" borderId="17" xfId="0" applyFont="1" applyFill="1" applyBorder="1" applyAlignment="1">
      <alignment horizontal="center" vertical="center"/>
    </xf>
    <xf numFmtId="0" fontId="0" fillId="7" borderId="1" xfId="0" applyFill="1" applyBorder="1" applyAlignment="1">
      <alignment horizontal="center" vertical="center"/>
    </xf>
    <xf numFmtId="0" fontId="0" fillId="0" borderId="19" xfId="0" applyBorder="1"/>
    <xf numFmtId="0" fontId="0" fillId="0" borderId="20" xfId="0" applyBorder="1"/>
    <xf numFmtId="0" fontId="0" fillId="0" borderId="21" xfId="0" applyBorder="1"/>
    <xf numFmtId="0" fontId="0" fillId="0" borderId="15" xfId="0" applyBorder="1"/>
    <xf numFmtId="0" fontId="0" fillId="0" borderId="22" xfId="0" applyBorder="1"/>
    <xf numFmtId="0" fontId="0" fillId="0" borderId="23" xfId="0" applyBorder="1" applyAlignment="1">
      <alignment horizontal="center"/>
    </xf>
    <xf numFmtId="0" fontId="0" fillId="0" borderId="18" xfId="0" applyBorder="1" applyAlignment="1">
      <alignment horizontal="center"/>
    </xf>
    <xf numFmtId="0" fontId="0" fillId="0" borderId="24" xfId="0" applyBorder="1" applyAlignment="1">
      <alignment horizontal="center"/>
    </xf>
    <xf numFmtId="0" fontId="9" fillId="5" borderId="16" xfId="1" applyFont="1" applyFill="1" applyBorder="1" applyAlignment="1">
      <alignment horizontal="center" vertical="center"/>
    </xf>
    <xf numFmtId="0" fontId="0" fillId="7" borderId="1" xfId="0" applyFill="1" applyBorder="1" applyAlignment="1">
      <alignment horizontal="left" vertical="center"/>
    </xf>
    <xf numFmtId="0" fontId="2" fillId="3" borderId="2"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2" fillId="6" borderId="8" xfId="0" applyFont="1" applyFill="1" applyBorder="1" applyAlignment="1">
      <alignment horizontal="center"/>
    </xf>
    <xf numFmtId="0" fontId="1" fillId="6" borderId="9" xfId="0" applyFont="1" applyFill="1" applyBorder="1" applyAlignment="1">
      <alignment horizontal="center"/>
    </xf>
    <xf numFmtId="0" fontId="1" fillId="6" borderId="10" xfId="0" applyFont="1" applyFill="1" applyBorder="1" applyAlignment="1">
      <alignment horizontal="center"/>
    </xf>
    <xf numFmtId="0" fontId="0" fillId="0" borderId="18" xfId="0" applyBorder="1"/>
    <xf numFmtId="0" fontId="0" fillId="0" borderId="0" xfId="0" applyFill="1" applyBorder="1"/>
  </cellXfs>
  <cellStyles count="2">
    <cellStyle name="Hyperlink" xfId="1" builtinId="8"/>
    <cellStyle name="Normal" xfId="0" builtinId="0"/>
  </cellStyles>
  <dxfs count="25">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Sheet3!$B$1</c:f>
              <c:strCache>
                <c:ptCount val="1"/>
                <c:pt idx="0">
                  <c:v>Final Test</c:v>
                </c:pt>
              </c:strCache>
            </c:strRef>
          </c:tx>
          <c:spPr>
            <a:solidFill>
              <a:schemeClr val="accent1"/>
            </a:solidFill>
            <a:ln>
              <a:noFill/>
            </a:ln>
            <a:effectLst/>
          </c:spPr>
          <c:invertIfNegative val="0"/>
          <c:cat>
            <c:strRef>
              <c:f>Sheet3!$A$2:$A$15</c:f>
              <c:strCache>
                <c:ptCount val="14"/>
                <c:pt idx="0">
                  <c:v>Arjun</c:v>
                </c:pt>
                <c:pt idx="1">
                  <c:v>madhav</c:v>
                </c:pt>
                <c:pt idx="2">
                  <c:v>Vrinda</c:v>
                </c:pt>
                <c:pt idx="3">
                  <c:v>Indu</c:v>
                </c:pt>
                <c:pt idx="4">
                  <c:v>Champa</c:v>
                </c:pt>
                <c:pt idx="5">
                  <c:v>Gopal</c:v>
                </c:pt>
                <c:pt idx="6">
                  <c:v>Keshav</c:v>
                </c:pt>
                <c:pt idx="7">
                  <c:v>Abhimanyu</c:v>
                </c:pt>
                <c:pt idx="8">
                  <c:v>Gopi</c:v>
                </c:pt>
                <c:pt idx="9">
                  <c:v>lalita</c:v>
                </c:pt>
                <c:pt idx="10">
                  <c:v>Sudevi</c:v>
                </c:pt>
                <c:pt idx="11">
                  <c:v>Visakha</c:v>
                </c:pt>
                <c:pt idx="12">
                  <c:v>Hari</c:v>
                </c:pt>
                <c:pt idx="13">
                  <c:v>RNM</c:v>
                </c:pt>
              </c:strCache>
            </c:strRef>
          </c:cat>
          <c:val>
            <c:numRef>
              <c:f>Sheet3!$B$2:$B$15</c:f>
              <c:numCache>
                <c:formatCode>General</c:formatCode>
                <c:ptCount val="14"/>
                <c:pt idx="0">
                  <c:v>91</c:v>
                </c:pt>
                <c:pt idx="1">
                  <c:v>89</c:v>
                </c:pt>
                <c:pt idx="2">
                  <c:v>98</c:v>
                </c:pt>
                <c:pt idx="3">
                  <c:v>89</c:v>
                </c:pt>
                <c:pt idx="4">
                  <c:v>88</c:v>
                </c:pt>
                <c:pt idx="5">
                  <c:v>79</c:v>
                </c:pt>
                <c:pt idx="6">
                  <c:v>96</c:v>
                </c:pt>
                <c:pt idx="7">
                  <c:v>99</c:v>
                </c:pt>
                <c:pt idx="8">
                  <c:v>96</c:v>
                </c:pt>
                <c:pt idx="9">
                  <c:v>92</c:v>
                </c:pt>
                <c:pt idx="10">
                  <c:v>87</c:v>
                </c:pt>
                <c:pt idx="11">
                  <c:v>85</c:v>
                </c:pt>
                <c:pt idx="12">
                  <c:v>80</c:v>
                </c:pt>
                <c:pt idx="13">
                  <c:v>77</c:v>
                </c:pt>
              </c:numCache>
            </c:numRef>
          </c:val>
          <c:extLst>
            <c:ext xmlns:c16="http://schemas.microsoft.com/office/drawing/2014/chart" uri="{C3380CC4-5D6E-409C-BE32-E72D297353CC}">
              <c16:uniqueId val="{00000000-D70A-45C6-8923-74BCFA176986}"/>
            </c:ext>
          </c:extLst>
        </c:ser>
        <c:dLbls>
          <c:showLegendKey val="0"/>
          <c:showVal val="0"/>
          <c:showCatName val="0"/>
          <c:showSerName val="0"/>
          <c:showPercent val="0"/>
          <c:showBubbleSize val="0"/>
        </c:dLbls>
        <c:gapWidth val="219"/>
        <c:overlap val="-27"/>
        <c:axId val="642587775"/>
        <c:axId val="642586335"/>
      </c:barChart>
      <c:catAx>
        <c:axId val="64258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Student Marks</a:t>
                </a:r>
              </a:p>
            </c:rich>
          </c:tx>
          <c:layout>
            <c:manualLayout>
              <c:xMode val="edge"/>
              <c:yMode val="edge"/>
              <c:x val="0.49371744160986758"/>
              <c:y val="0.8600205844659204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86335"/>
        <c:crosses val="autoZero"/>
        <c:auto val="1"/>
        <c:lblAlgn val="ctr"/>
        <c:lblOffset val="100"/>
        <c:noMultiLvlLbl val="0"/>
      </c:catAx>
      <c:valAx>
        <c:axId val="6425863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5877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11</xdr:col>
      <xdr:colOff>570660</xdr:colOff>
      <xdr:row>1</xdr:row>
      <xdr:rowOff>38461</xdr:rowOff>
    </xdr:from>
    <xdr:to>
      <xdr:col>13</xdr:col>
      <xdr:colOff>24000</xdr:colOff>
      <xdr:row>8</xdr:row>
      <xdr:rowOff>156000</xdr:rowOff>
    </xdr:to>
    <mc:AlternateContent xmlns:mc="http://schemas.openxmlformats.org/markup-compatibility/2006">
      <mc:Choice xmlns:sle15="http://schemas.microsoft.com/office/drawing/2012/slicer" Requires="sle15">
        <xdr:graphicFrame macro="">
          <xdr:nvGraphicFramePr>
            <xdr:cNvPr id="4" name="Class 1">
              <a:extLst>
                <a:ext uri="{FF2B5EF4-FFF2-40B4-BE49-F238E27FC236}">
                  <a16:creationId xmlns:a16="http://schemas.microsoft.com/office/drawing/2014/main" id="{4F035F9F-B1DE-76B7-D023-9864F6F0B8D7}"/>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dr:sp macro="" textlink="">
          <xdr:nvSpPr>
            <xdr:cNvPr id="0" name=""/>
            <xdr:cNvSpPr>
              <a:spLocks noTextEdit="1"/>
            </xdr:cNvSpPr>
          </xdr:nvSpPr>
          <xdr:spPr>
            <a:xfrm>
              <a:off x="8406660" y="218461"/>
              <a:ext cx="791340" cy="137753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384720</xdr:colOff>
      <xdr:row>1</xdr:row>
      <xdr:rowOff>14520</xdr:rowOff>
    </xdr:from>
    <xdr:to>
      <xdr:col>11</xdr:col>
      <xdr:colOff>444000</xdr:colOff>
      <xdr:row>10</xdr:row>
      <xdr:rowOff>18000</xdr:rowOff>
    </xdr:to>
    <mc:AlternateContent xmlns:mc="http://schemas.openxmlformats.org/markup-compatibility/2006">
      <mc:Choice xmlns:sle15="http://schemas.microsoft.com/office/drawing/2012/slicer" Requires="sle15">
        <xdr:graphicFrame macro="">
          <xdr:nvGraphicFramePr>
            <xdr:cNvPr id="5" name="Unit Test 2">
              <a:extLst>
                <a:ext uri="{FF2B5EF4-FFF2-40B4-BE49-F238E27FC236}">
                  <a16:creationId xmlns:a16="http://schemas.microsoft.com/office/drawing/2014/main" id="{3F2A398D-A75C-E439-FD4B-918D750BAE96}"/>
                </a:ext>
              </a:extLst>
            </xdr:cNvPr>
            <xdr:cNvGraphicFramePr/>
          </xdr:nvGraphicFramePr>
          <xdr:xfrm>
            <a:off x="0" y="0"/>
            <a:ext cx="0" cy="0"/>
          </xdr:xfrm>
          <a:graphic>
            <a:graphicData uri="http://schemas.microsoft.com/office/drawing/2010/slicer">
              <sle:slicer xmlns:sle="http://schemas.microsoft.com/office/drawing/2010/slicer" name="Unit Test 2"/>
            </a:graphicData>
          </a:graphic>
        </xdr:graphicFrame>
      </mc:Choice>
      <mc:Fallback>
        <xdr:sp macro="" textlink="">
          <xdr:nvSpPr>
            <xdr:cNvPr id="0" name=""/>
            <xdr:cNvSpPr>
              <a:spLocks noTextEdit="1"/>
            </xdr:cNvSpPr>
          </xdr:nvSpPr>
          <xdr:spPr>
            <a:xfrm>
              <a:off x="6948720" y="194520"/>
              <a:ext cx="1331280" cy="16234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155223</xdr:colOff>
      <xdr:row>2</xdr:row>
      <xdr:rowOff>146352</xdr:rowOff>
    </xdr:from>
    <xdr:to>
      <xdr:col>8</xdr:col>
      <xdr:colOff>177397</xdr:colOff>
      <xdr:row>15</xdr:row>
      <xdr:rowOff>165301</xdr:rowOff>
    </xdr:to>
    <xdr:graphicFrame macro="">
      <xdr:nvGraphicFramePr>
        <xdr:cNvPr id="2" name="Chart 1">
          <a:extLst>
            <a:ext uri="{FF2B5EF4-FFF2-40B4-BE49-F238E27FC236}">
              <a16:creationId xmlns:a16="http://schemas.microsoft.com/office/drawing/2014/main" id="{A4E0E16E-EC4D-9948-9E16-5DD1FA07A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3C638B16-9A5F-4999-B13C-49C08745E3DD}" sourceName="Class">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Test_2" xr10:uid="{B8B1B2DB-1E59-44E4-AFEE-38F71258EBF9}" sourceName="Unit Test 2">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1" xr10:uid="{02A3224D-2666-4569-BE9E-96E30C2F53B9}" cache="Slicer_Class" caption="Class" style="SlicerStyleOther2" rowHeight="234950"/>
  <slicer name="Unit Test 2" xr10:uid="{510B615B-4B98-42E0-A6AB-3C14F4B99255}" cache="Slicer_Unit_Test_2" caption="Unit Test 2" startItem="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2683E6-C64F-41EE-9F6C-4D9926F2950C}" name="Table4" displayName="Table4" ref="L4:L9" totalsRowShown="0" headerRowDxfId="24" dataDxfId="22" headerRowBorderDxfId="23" tableBorderDxfId="21" totalsRowBorderDxfId="20">
  <autoFilter ref="L4:L9" xr:uid="{E42683E6-C64F-41EE-9F6C-4D9926F2950C}"/>
  <tableColumns count="1">
    <tableColumn id="1" xr3:uid="{189888E1-A567-4C11-9C33-1EC7DC702A31}" name="Column1"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61EA7A-AB01-403E-A43D-02D740BF9170}" name="Table1" displayName="Table1" ref="A2:I16" totalsRowShown="0" headerRowDxfId="18" dataDxfId="17" tableBorderDxfId="16">
  <autoFilter ref="A2:I16" xr:uid="{0461EA7A-AB01-403E-A43D-02D740BF9170}"/>
  <tableColumns count="9">
    <tableColumn id="1" xr3:uid="{E7DC4895-D8FE-4834-9E6F-EE3246CA9971}" name="Name" dataDxfId="15"/>
    <tableColumn id="2" xr3:uid="{98E6CF1E-F7C8-41B5-A314-E48CFAC067D7}" name="Gender" dataDxfId="14"/>
    <tableColumn id="3" xr3:uid="{AA105176-3AAF-4BD1-BE0E-0DAACA0112BB}" name="Age" dataDxfId="13"/>
    <tableColumn id="4" xr3:uid="{32C90648-CC9C-432F-A6A6-869B82F372DD}" name="Class" dataDxfId="12"/>
    <tableColumn id="5" xr3:uid="{45F25478-BC4B-4BDB-9EA4-13A7BA2E2A0B}" name="House" dataDxfId="11"/>
    <tableColumn id="6" xr3:uid="{952E60CB-8FDB-4ADF-9396-92F22B987E0C}" name="Unit Test 1" dataDxfId="10"/>
    <tableColumn id="7" xr3:uid="{57CEB457-FB5F-4ABE-8563-A9E8E9F099D4}" name="Unit Test 2" dataDxfId="9"/>
    <tableColumn id="8" xr3:uid="{058555EA-2F6D-4326-A661-1B0D193A5B82}" name="Final Test" dataDxfId="8"/>
    <tableColumn id="9" xr3:uid="{BB313B12-9C5C-4AFA-92C6-A2E84A637BDB}" name="Email" dataDxfId="7" dataCellStyle="Hyperlink"/>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89C97-85C2-4D03-9762-DD388972CA58}" name="Table2" displayName="Table2" ref="E2:E6" totalsRowShown="0">
  <autoFilter ref="E2:E6" xr:uid="{26889C97-85C2-4D03-9762-DD388972CA58}"/>
  <tableColumns count="1">
    <tableColumn id="1" xr3:uid="{B7E43436-0DE7-4BB4-A59F-13C2F7C62BF2}" name="mask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D6409F-BE3B-4B8C-BC96-4B10467C2BC2}" name="Table3" displayName="Table3" ref="H2:I7" totalsRowShown="0" headerRowDxfId="6" headerRowBorderDxfId="5" tableBorderDxfId="4" totalsRowBorderDxfId="3">
  <autoFilter ref="H2:I7" xr:uid="{98D6409F-BE3B-4B8C-BC96-4B10467C2BC2}"/>
  <tableColumns count="2">
    <tableColumn id="1" xr3:uid="{F349FD5B-51C1-40A9-9A8B-D71BD4D84F63}" name="Column1" dataDxfId="2"/>
    <tableColumn id="2" xr3:uid="{B5D65A9B-9805-4B08-871F-6E2EBCC3BC8A}" name="Column2"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Sudevi@gmail.com" TargetMode="External"/><Relationship Id="rId13" Type="http://schemas.openxmlformats.org/officeDocument/2006/relationships/hyperlink" Target="mailto:Indu@gmail.com" TargetMode="External"/><Relationship Id="rId18" Type="http://schemas.microsoft.com/office/2007/relationships/slicer" Target="../slicers/slicer1.xml"/><Relationship Id="rId3" Type="http://schemas.openxmlformats.org/officeDocument/2006/relationships/hyperlink" Target="mailto:Champa@gmail.com" TargetMode="External"/><Relationship Id="rId7" Type="http://schemas.openxmlformats.org/officeDocument/2006/relationships/hyperlink" Target="mailto:Visakha@gmail.com" TargetMode="External"/><Relationship Id="rId12" Type="http://schemas.openxmlformats.org/officeDocument/2006/relationships/hyperlink" Target="mailto:Keshav@gmail.com" TargetMode="External"/><Relationship Id="rId17" Type="http://schemas.openxmlformats.org/officeDocument/2006/relationships/table" Target="../tables/table2.xml"/><Relationship Id="rId2" Type="http://schemas.openxmlformats.org/officeDocument/2006/relationships/hyperlink" Target="mailto:Arjun@gmail.com" TargetMode="External"/><Relationship Id="rId16" Type="http://schemas.openxmlformats.org/officeDocument/2006/relationships/vmlDrawing" Target="../drawings/vmlDrawing1.vml"/><Relationship Id="rId1" Type="http://schemas.openxmlformats.org/officeDocument/2006/relationships/hyperlink" Target="mailto:Abhimanyu@gmail.com" TargetMode="External"/><Relationship Id="rId6" Type="http://schemas.openxmlformats.org/officeDocument/2006/relationships/hyperlink" Target="mailto:Vrinda@gmail.com" TargetMode="External"/><Relationship Id="rId11" Type="http://schemas.openxmlformats.org/officeDocument/2006/relationships/hyperlink" Target="mailto:lalita@gmail.com" TargetMode="External"/><Relationship Id="rId5" Type="http://schemas.openxmlformats.org/officeDocument/2006/relationships/hyperlink" Target="mailto:Gopi@gmail.com" TargetMode="External"/><Relationship Id="rId15" Type="http://schemas.openxmlformats.org/officeDocument/2006/relationships/drawing" Target="../drawings/drawing1.xml"/><Relationship Id="rId10" Type="http://schemas.openxmlformats.org/officeDocument/2006/relationships/hyperlink" Target="mailto:madhav@gmail.com" TargetMode="External"/><Relationship Id="rId19" Type="http://schemas.openxmlformats.org/officeDocument/2006/relationships/comments" Target="../comments1.xml"/><Relationship Id="rId4" Type="http://schemas.openxmlformats.org/officeDocument/2006/relationships/hyperlink" Target="mailto:Gopal@gmail.com" TargetMode="External"/><Relationship Id="rId9" Type="http://schemas.openxmlformats.org/officeDocument/2006/relationships/hyperlink" Target="mailto:RNM@gmail.com" TargetMode="External"/><Relationship Id="rId14" Type="http://schemas.openxmlformats.org/officeDocument/2006/relationships/hyperlink" Target="mailto:Hari@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devi@gmail.com" TargetMode="External"/><Relationship Id="rId13" Type="http://schemas.openxmlformats.org/officeDocument/2006/relationships/hyperlink" Target="mailto:Indu@gmail.com" TargetMode="External"/><Relationship Id="rId18" Type="http://schemas.openxmlformats.org/officeDocument/2006/relationships/hyperlink" Target="mailto:Gopal@gmail.com" TargetMode="External"/><Relationship Id="rId26" Type="http://schemas.openxmlformats.org/officeDocument/2006/relationships/hyperlink" Target="mailto:Keshav@gmail.com" TargetMode="External"/><Relationship Id="rId3" Type="http://schemas.openxmlformats.org/officeDocument/2006/relationships/hyperlink" Target="mailto:Champa@gmail.com" TargetMode="External"/><Relationship Id="rId21" Type="http://schemas.openxmlformats.org/officeDocument/2006/relationships/hyperlink" Target="mailto:Visakha@gmail.com" TargetMode="External"/><Relationship Id="rId7" Type="http://schemas.openxmlformats.org/officeDocument/2006/relationships/hyperlink" Target="mailto:Visakha@gmail.com" TargetMode="External"/><Relationship Id="rId12" Type="http://schemas.openxmlformats.org/officeDocument/2006/relationships/hyperlink" Target="mailto:Keshav@gmail.com" TargetMode="External"/><Relationship Id="rId17" Type="http://schemas.openxmlformats.org/officeDocument/2006/relationships/hyperlink" Target="mailto:Champa@gmail.com" TargetMode="External"/><Relationship Id="rId25" Type="http://schemas.openxmlformats.org/officeDocument/2006/relationships/hyperlink" Target="mailto:lalita@gmail.com" TargetMode="External"/><Relationship Id="rId2" Type="http://schemas.openxmlformats.org/officeDocument/2006/relationships/hyperlink" Target="mailto:Arjun@gmail.com" TargetMode="External"/><Relationship Id="rId16" Type="http://schemas.openxmlformats.org/officeDocument/2006/relationships/hyperlink" Target="mailto:Arjun@gmail.com" TargetMode="External"/><Relationship Id="rId20" Type="http://schemas.openxmlformats.org/officeDocument/2006/relationships/hyperlink" Target="mailto:Vrinda@gmail.com" TargetMode="External"/><Relationship Id="rId29" Type="http://schemas.openxmlformats.org/officeDocument/2006/relationships/vmlDrawing" Target="../drawings/vmlDrawing2.vml"/><Relationship Id="rId1" Type="http://schemas.openxmlformats.org/officeDocument/2006/relationships/hyperlink" Target="mailto:Abhimanyu@gmail.com" TargetMode="External"/><Relationship Id="rId6" Type="http://schemas.openxmlformats.org/officeDocument/2006/relationships/hyperlink" Target="mailto:Vrinda@gmail.com" TargetMode="External"/><Relationship Id="rId11" Type="http://schemas.openxmlformats.org/officeDocument/2006/relationships/hyperlink" Target="mailto:lalita@gmail.com" TargetMode="External"/><Relationship Id="rId24" Type="http://schemas.openxmlformats.org/officeDocument/2006/relationships/hyperlink" Target="mailto:madhav@gmail.com" TargetMode="External"/><Relationship Id="rId5" Type="http://schemas.openxmlformats.org/officeDocument/2006/relationships/hyperlink" Target="mailto:Gopi@gmail.com" TargetMode="External"/><Relationship Id="rId15" Type="http://schemas.openxmlformats.org/officeDocument/2006/relationships/hyperlink" Target="mailto:Abhimanyu@gmail.com" TargetMode="External"/><Relationship Id="rId23" Type="http://schemas.openxmlformats.org/officeDocument/2006/relationships/hyperlink" Target="mailto:RNM@gmail.com" TargetMode="External"/><Relationship Id="rId28" Type="http://schemas.openxmlformats.org/officeDocument/2006/relationships/hyperlink" Target="mailto:Hari@gmail.com" TargetMode="External"/><Relationship Id="rId10" Type="http://schemas.openxmlformats.org/officeDocument/2006/relationships/hyperlink" Target="mailto:madhav@gmail.com" TargetMode="External"/><Relationship Id="rId19" Type="http://schemas.openxmlformats.org/officeDocument/2006/relationships/hyperlink" Target="mailto:Gopi@gmail.com" TargetMode="External"/><Relationship Id="rId4" Type="http://schemas.openxmlformats.org/officeDocument/2006/relationships/hyperlink" Target="mailto:Gopal@gmail.com" TargetMode="External"/><Relationship Id="rId9" Type="http://schemas.openxmlformats.org/officeDocument/2006/relationships/hyperlink" Target="mailto:RNM@gmail.com" TargetMode="External"/><Relationship Id="rId14" Type="http://schemas.openxmlformats.org/officeDocument/2006/relationships/hyperlink" Target="mailto:Hari@gmail.com" TargetMode="External"/><Relationship Id="rId22" Type="http://schemas.openxmlformats.org/officeDocument/2006/relationships/hyperlink" Target="mailto:Sudevi@gmail.com" TargetMode="External"/><Relationship Id="rId27" Type="http://schemas.openxmlformats.org/officeDocument/2006/relationships/hyperlink" Target="mailto:Indu@gmail.com" TargetMode="External"/><Relationship Id="rId30"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14AB1-BD63-4396-875A-787740575CC4}">
  <dimension ref="A1:L12"/>
  <sheetViews>
    <sheetView zoomScale="139" zoomScaleNormal="100" workbookViewId="0">
      <selection activeCell="H4" sqref="A4:J8"/>
    </sheetView>
  </sheetViews>
  <sheetFormatPr defaultRowHeight="14.4" x14ac:dyDescent="0.3"/>
  <cols>
    <col min="2" max="2" width="9.77734375" bestFit="1" customWidth="1"/>
    <col min="3" max="3" width="9.6640625" bestFit="1" customWidth="1"/>
    <col min="4" max="4" width="10.6640625" bestFit="1" customWidth="1"/>
    <col min="5" max="5" width="8.33203125" bestFit="1" customWidth="1"/>
    <col min="8" max="8" width="8" bestFit="1" customWidth="1"/>
    <col min="9" max="9" width="8.88671875" bestFit="1" customWidth="1"/>
    <col min="10" max="10" width="13.109375" bestFit="1" customWidth="1"/>
    <col min="12" max="12" width="9.77734375" customWidth="1"/>
  </cols>
  <sheetData>
    <row r="1" spans="1:12" x14ac:dyDescent="0.3">
      <c r="A1" s="32" t="s">
        <v>25</v>
      </c>
      <c r="B1" s="33"/>
      <c r="C1" s="33"/>
      <c r="D1" s="33"/>
      <c r="E1" s="33"/>
      <c r="F1" s="33"/>
      <c r="G1" s="33"/>
      <c r="H1" s="33"/>
      <c r="I1" s="33"/>
      <c r="J1" s="34"/>
    </row>
    <row r="2" spans="1:12" ht="15" thickBot="1" x14ac:dyDescent="0.35">
      <c r="A2" s="35"/>
      <c r="B2" s="36"/>
      <c r="C2" s="36"/>
      <c r="D2" s="36"/>
      <c r="E2" s="36"/>
      <c r="F2" s="36"/>
      <c r="G2" s="36"/>
      <c r="H2" s="36"/>
      <c r="I2" s="36"/>
      <c r="J2" s="37"/>
    </row>
    <row r="3" spans="1:12" x14ac:dyDescent="0.3">
      <c r="A3" s="1" t="s">
        <v>0</v>
      </c>
      <c r="B3" s="1" t="s">
        <v>1</v>
      </c>
      <c r="C3" s="1" t="s">
        <v>2</v>
      </c>
      <c r="D3" s="1" t="s">
        <v>3</v>
      </c>
      <c r="E3" s="1" t="s">
        <v>4</v>
      </c>
      <c r="F3" s="1" t="s">
        <v>5</v>
      </c>
      <c r="G3" s="1" t="s">
        <v>6</v>
      </c>
      <c r="H3" s="1" t="s">
        <v>8</v>
      </c>
      <c r="I3" s="1" t="s">
        <v>7</v>
      </c>
      <c r="J3" s="1" t="s">
        <v>9</v>
      </c>
    </row>
    <row r="4" spans="1:12" x14ac:dyDescent="0.3">
      <c r="A4" s="2">
        <v>5</v>
      </c>
      <c r="B4" s="2" t="s">
        <v>18</v>
      </c>
      <c r="C4" s="2" t="s">
        <v>19</v>
      </c>
      <c r="D4" s="2" t="s">
        <v>20</v>
      </c>
      <c r="E4" s="2">
        <v>1800</v>
      </c>
      <c r="F4" s="2">
        <v>2500</v>
      </c>
      <c r="G4" s="2">
        <v>2900</v>
      </c>
      <c r="H4" s="2">
        <f>SUM(E4,F4,,G4)</f>
        <v>7200</v>
      </c>
      <c r="I4" s="3">
        <v>2466.6666666666665</v>
      </c>
      <c r="J4" s="2" t="str">
        <f>CONCATENATE(B4," ",C4)</f>
        <v>RAJA RAM</v>
      </c>
      <c r="L4" s="28" t="s">
        <v>79</v>
      </c>
    </row>
    <row r="5" spans="1:12" x14ac:dyDescent="0.3">
      <c r="A5" s="2">
        <v>2</v>
      </c>
      <c r="B5" s="2" t="s">
        <v>12</v>
      </c>
      <c r="C5" s="2" t="s">
        <v>13</v>
      </c>
      <c r="D5" s="2" t="s">
        <v>23</v>
      </c>
      <c r="E5" s="2">
        <v>1800</v>
      </c>
      <c r="F5" s="2">
        <v>1700</v>
      </c>
      <c r="G5" s="2">
        <v>2000</v>
      </c>
      <c r="H5" s="2">
        <f>SUM(E5,F5,,G5)</f>
        <v>5500</v>
      </c>
      <c r="I5" s="3">
        <f>AVERAGE(F5,G5,E5)</f>
        <v>1833.3333333333333</v>
      </c>
      <c r="J5" s="2" t="str">
        <f>CONCATENATE(B5," ",C5)</f>
        <v>GOPAL VERMA</v>
      </c>
      <c r="L5" s="27">
        <v>1500</v>
      </c>
    </row>
    <row r="6" spans="1:12" x14ac:dyDescent="0.3">
      <c r="A6" s="2">
        <v>4</v>
      </c>
      <c r="B6" s="2" t="s">
        <v>17</v>
      </c>
      <c r="C6" s="2" t="s">
        <v>16</v>
      </c>
      <c r="D6" s="2" t="s">
        <v>22</v>
      </c>
      <c r="E6" s="2">
        <v>2000</v>
      </c>
      <c r="F6" s="2">
        <v>1500</v>
      </c>
      <c r="G6" s="2">
        <v>1800</v>
      </c>
      <c r="H6" s="2">
        <f>SUM(E6,F6,,G6)</f>
        <v>5300</v>
      </c>
      <c r="I6" s="3">
        <f>AVERAGE(F6,G6,E6)</f>
        <v>1766.6666666666667</v>
      </c>
      <c r="J6" s="2" t="str">
        <f>CONCATENATE(B6," ",C6)</f>
        <v>HARI SINGH</v>
      </c>
      <c r="L6" s="27">
        <v>1200</v>
      </c>
    </row>
    <row r="7" spans="1:12" x14ac:dyDescent="0.3">
      <c r="A7" s="2">
        <v>1</v>
      </c>
      <c r="B7" s="2" t="s">
        <v>10</v>
      </c>
      <c r="C7" s="2" t="s">
        <v>11</v>
      </c>
      <c r="D7" s="2" t="s">
        <v>21</v>
      </c>
      <c r="E7" s="2">
        <v>1800</v>
      </c>
      <c r="F7" s="2">
        <v>1200</v>
      </c>
      <c r="G7" s="2">
        <v>1500</v>
      </c>
      <c r="H7" s="2">
        <f>SUM(E7,F7,,G7)</f>
        <v>4500</v>
      </c>
      <c r="I7" s="3">
        <f>AVERAGE(E7,F7,G7)</f>
        <v>1500</v>
      </c>
      <c r="J7" s="2" t="str">
        <f>CONCATENATE(B7," ",C7)</f>
        <v>RNM KUMAR</v>
      </c>
      <c r="L7" s="27">
        <v>1800</v>
      </c>
    </row>
    <row r="8" spans="1:12" x14ac:dyDescent="0.3">
      <c r="A8" s="2">
        <v>3</v>
      </c>
      <c r="B8" s="2" t="s">
        <v>14</v>
      </c>
      <c r="C8" s="2" t="s">
        <v>15</v>
      </c>
      <c r="D8" s="2" t="s">
        <v>24</v>
      </c>
      <c r="E8" s="2">
        <v>1200</v>
      </c>
      <c r="F8" s="2">
        <v>1400</v>
      </c>
      <c r="G8" s="2">
        <v>1800</v>
      </c>
      <c r="H8" s="2">
        <f>SUM(E8,F8,,G8)</f>
        <v>4400</v>
      </c>
      <c r="I8" s="3">
        <f>AVERAGE(F8,G8,E8)</f>
        <v>1466.6666666666667</v>
      </c>
      <c r="J8" s="2" t="str">
        <f>CONCATENATE(B8," ",C8)</f>
        <v>JOSEPH PAUL</v>
      </c>
      <c r="L8" s="27">
        <v>1300</v>
      </c>
    </row>
    <row r="9" spans="1:12" x14ac:dyDescent="0.3">
      <c r="A9" s="4"/>
      <c r="B9" s="4"/>
      <c r="C9" s="4"/>
      <c r="D9" s="4"/>
      <c r="E9" s="4"/>
      <c r="F9" s="4"/>
      <c r="G9" s="4"/>
      <c r="H9" s="4"/>
      <c r="I9" s="4"/>
      <c r="J9" s="4"/>
      <c r="L9" s="29">
        <v>2000</v>
      </c>
    </row>
    <row r="11" spans="1:12" ht="57.6" x14ac:dyDescent="0.3">
      <c r="A11" s="5" t="s">
        <v>26</v>
      </c>
    </row>
    <row r="12" spans="1:12" ht="43.2" x14ac:dyDescent="0.3">
      <c r="A12" s="5" t="s">
        <v>27</v>
      </c>
    </row>
  </sheetData>
  <sortState xmlns:xlrd2="http://schemas.microsoft.com/office/spreadsheetml/2017/richdata2" ref="A4:J8">
    <sortCondition descending="1" ref="H4:H8"/>
  </sortState>
  <mergeCells count="1">
    <mergeCell ref="A1:J2"/>
  </mergeCells>
  <conditionalFormatting sqref="H4:H9">
    <cfRule type="colorScale" priority="2">
      <colorScale>
        <cfvo type="min"/>
        <cfvo type="percentile" val="50"/>
        <cfvo type="max"/>
        <color rgb="FFF8696B"/>
        <color rgb="FFFFEB84"/>
        <color rgb="FF63BE7B"/>
      </colorScale>
    </cfRule>
  </conditionalFormatting>
  <conditionalFormatting sqref="J3:J9 J11:J1048576">
    <cfRule type="duplicateValues" dxfId="0" priority="1"/>
  </conditionalFormatting>
  <dataValidations count="1">
    <dataValidation type="list" allowBlank="1" showInputMessage="1" showErrorMessage="1" sqref="E4:E9" xr:uid="{BF708FCA-12B2-48E4-9F65-1BEAFE6FB323}">
      <formula1>$L$5:$L$9</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5B97D-6854-41FD-9904-15A37C827D6D}">
  <dimension ref="A1:O21"/>
  <sheetViews>
    <sheetView tabSelected="1" zoomScale="127" zoomScaleNormal="100" workbookViewId="0">
      <selection activeCell="J12" sqref="J12"/>
    </sheetView>
  </sheetViews>
  <sheetFormatPr defaultRowHeight="14.4" x14ac:dyDescent="0.3"/>
  <cols>
    <col min="1" max="1" width="10.21875" bestFit="1" customWidth="1"/>
    <col min="2" max="2" width="9" customWidth="1"/>
    <col min="3" max="3" width="6.109375" customWidth="1"/>
    <col min="4" max="4" width="7" customWidth="1"/>
    <col min="5" max="5" width="8.109375" customWidth="1"/>
    <col min="6" max="7" width="11.77734375" customWidth="1"/>
    <col min="8" max="8" width="10.6640625" customWidth="1"/>
    <col min="9" max="9" width="20.88671875" bestFit="1" customWidth="1"/>
    <col min="10" max="10" width="9.6640625" customWidth="1"/>
    <col min="12" max="12" width="10.5546875" bestFit="1" customWidth="1"/>
  </cols>
  <sheetData>
    <row r="1" spans="1:15" x14ac:dyDescent="0.3">
      <c r="A1" s="38" t="s">
        <v>68</v>
      </c>
      <c r="B1" s="39"/>
      <c r="C1" s="39"/>
      <c r="D1" s="39"/>
      <c r="E1" s="39"/>
      <c r="F1" s="39"/>
      <c r="G1" s="39"/>
      <c r="H1" s="39"/>
      <c r="I1" s="40"/>
    </row>
    <row r="2" spans="1:15" s="6" customFormat="1" x14ac:dyDescent="0.3">
      <c r="A2" s="19" t="s">
        <v>28</v>
      </c>
      <c r="B2" s="11" t="s">
        <v>29</v>
      </c>
      <c r="C2" s="11" t="s">
        <v>30</v>
      </c>
      <c r="D2" s="11" t="s">
        <v>31</v>
      </c>
      <c r="E2" s="11" t="s">
        <v>32</v>
      </c>
      <c r="F2" s="11" t="s">
        <v>33</v>
      </c>
      <c r="G2" s="11" t="s">
        <v>34</v>
      </c>
      <c r="H2" s="11" t="s">
        <v>35</v>
      </c>
      <c r="I2" s="12" t="s">
        <v>36</v>
      </c>
    </row>
    <row r="3" spans="1:15" x14ac:dyDescent="0.3">
      <c r="A3" s="10" t="s">
        <v>38</v>
      </c>
      <c r="B3" s="7" t="s">
        <v>69</v>
      </c>
      <c r="C3" s="7">
        <v>11</v>
      </c>
      <c r="D3" s="7">
        <v>5</v>
      </c>
      <c r="E3" s="7" t="s">
        <v>51</v>
      </c>
      <c r="F3" s="7">
        <v>82</v>
      </c>
      <c r="G3" s="7">
        <v>83</v>
      </c>
      <c r="H3" s="7">
        <v>91</v>
      </c>
      <c r="I3" s="8" t="s">
        <v>55</v>
      </c>
    </row>
    <row r="4" spans="1:15" x14ac:dyDescent="0.3">
      <c r="A4" s="10" t="s">
        <v>46</v>
      </c>
      <c r="B4" s="7" t="s">
        <v>69</v>
      </c>
      <c r="C4" s="7">
        <v>12</v>
      </c>
      <c r="D4" s="7">
        <v>7</v>
      </c>
      <c r="E4" s="7" t="s">
        <v>52</v>
      </c>
      <c r="F4" s="7">
        <v>86</v>
      </c>
      <c r="G4" s="7">
        <v>92</v>
      </c>
      <c r="H4" s="7">
        <v>89</v>
      </c>
      <c r="I4" s="9" t="s">
        <v>63</v>
      </c>
    </row>
    <row r="5" spans="1:15" x14ac:dyDescent="0.3">
      <c r="A5" s="10" t="s">
        <v>49</v>
      </c>
      <c r="B5" s="7" t="s">
        <v>70</v>
      </c>
      <c r="C5" s="7">
        <v>14</v>
      </c>
      <c r="D5" s="7">
        <v>8</v>
      </c>
      <c r="E5" s="7" t="s">
        <v>53</v>
      </c>
      <c r="F5" s="7">
        <v>91</v>
      </c>
      <c r="G5" s="7">
        <v>96</v>
      </c>
      <c r="H5" s="7">
        <v>98</v>
      </c>
      <c r="I5" s="8" t="s">
        <v>67</v>
      </c>
    </row>
    <row r="6" spans="1:15" x14ac:dyDescent="0.3">
      <c r="A6" s="10" t="s">
        <v>43</v>
      </c>
      <c r="B6" s="7" t="s">
        <v>70</v>
      </c>
      <c r="C6" s="7">
        <v>14</v>
      </c>
      <c r="D6" s="7">
        <v>8</v>
      </c>
      <c r="E6" s="7" t="s">
        <v>51</v>
      </c>
      <c r="F6" s="7">
        <v>90</v>
      </c>
      <c r="G6" s="7">
        <v>86</v>
      </c>
      <c r="H6" s="7">
        <v>89</v>
      </c>
      <c r="I6" s="8" t="s">
        <v>60</v>
      </c>
    </row>
    <row r="7" spans="1:15" x14ac:dyDescent="0.3">
      <c r="A7" s="10" t="s">
        <v>39</v>
      </c>
      <c r="B7" s="7" t="s">
        <v>70</v>
      </c>
      <c r="C7" s="7">
        <v>15</v>
      </c>
      <c r="D7" s="7">
        <v>8</v>
      </c>
      <c r="E7" s="7" t="s">
        <v>52</v>
      </c>
      <c r="F7" s="7">
        <v>81</v>
      </c>
      <c r="G7" s="7">
        <v>78</v>
      </c>
      <c r="H7" s="7">
        <v>88</v>
      </c>
      <c r="I7" s="16" t="s">
        <v>56</v>
      </c>
    </row>
    <row r="8" spans="1:15" x14ac:dyDescent="0.3">
      <c r="A8" s="10" t="s">
        <v>40</v>
      </c>
      <c r="B8" s="7" t="s">
        <v>69</v>
      </c>
      <c r="C8" s="7">
        <v>14</v>
      </c>
      <c r="D8" s="7">
        <v>8</v>
      </c>
      <c r="E8" s="7" t="s">
        <v>50</v>
      </c>
      <c r="F8" s="7">
        <v>70</v>
      </c>
      <c r="G8" s="7">
        <v>75</v>
      </c>
      <c r="H8" s="7">
        <v>79</v>
      </c>
      <c r="I8" s="16" t="s">
        <v>57</v>
      </c>
    </row>
    <row r="9" spans="1:15" x14ac:dyDescent="0.3">
      <c r="A9" s="10" t="s">
        <v>44</v>
      </c>
      <c r="B9" s="7" t="s">
        <v>69</v>
      </c>
      <c r="C9" s="7">
        <v>15</v>
      </c>
      <c r="D9" s="7">
        <v>9</v>
      </c>
      <c r="E9" s="7" t="s">
        <v>53</v>
      </c>
      <c r="F9" s="7">
        <v>87</v>
      </c>
      <c r="G9" s="7">
        <v>89</v>
      </c>
      <c r="H9" s="7">
        <v>96</v>
      </c>
      <c r="I9" s="8" t="s">
        <v>61</v>
      </c>
    </row>
    <row r="10" spans="1:15" x14ac:dyDescent="0.3">
      <c r="A10" s="10" t="s">
        <v>37</v>
      </c>
      <c r="B10" s="7" t="s">
        <v>69</v>
      </c>
      <c r="C10" s="7">
        <v>16</v>
      </c>
      <c r="D10" s="7">
        <v>10</v>
      </c>
      <c r="E10" s="7" t="s">
        <v>50</v>
      </c>
      <c r="F10" s="7">
        <v>84</v>
      </c>
      <c r="G10" s="7">
        <v>79</v>
      </c>
      <c r="H10" s="7">
        <v>99</v>
      </c>
      <c r="I10" s="8" t="s">
        <v>54</v>
      </c>
    </row>
    <row r="11" spans="1:15" x14ac:dyDescent="0.3">
      <c r="A11" s="10" t="s">
        <v>41</v>
      </c>
      <c r="B11" s="7" t="s">
        <v>69</v>
      </c>
      <c r="C11" s="7">
        <v>16</v>
      </c>
      <c r="D11" s="7">
        <v>10</v>
      </c>
      <c r="E11" s="7" t="s">
        <v>53</v>
      </c>
      <c r="F11" s="7">
        <v>88</v>
      </c>
      <c r="G11" s="7">
        <v>92</v>
      </c>
      <c r="H11" s="7">
        <v>96</v>
      </c>
      <c r="I11" s="8" t="s">
        <v>58</v>
      </c>
    </row>
    <row r="12" spans="1:15" x14ac:dyDescent="0.3">
      <c r="A12" s="10" t="s">
        <v>45</v>
      </c>
      <c r="B12" s="7" t="s">
        <v>70</v>
      </c>
      <c r="C12" s="7">
        <v>17</v>
      </c>
      <c r="D12" s="7">
        <v>10</v>
      </c>
      <c r="E12" s="7" t="s">
        <v>51</v>
      </c>
      <c r="F12" s="7">
        <v>70</v>
      </c>
      <c r="G12" s="7">
        <v>90</v>
      </c>
      <c r="H12" s="7">
        <v>92</v>
      </c>
      <c r="I12" s="8" t="s">
        <v>62</v>
      </c>
      <c r="L12" t="s">
        <v>81</v>
      </c>
      <c r="M12" t="s">
        <v>82</v>
      </c>
    </row>
    <row r="13" spans="1:15" x14ac:dyDescent="0.3">
      <c r="A13" s="10" t="s">
        <v>47</v>
      </c>
      <c r="B13" s="7" t="s">
        <v>70</v>
      </c>
      <c r="C13" s="7">
        <v>16</v>
      </c>
      <c r="D13" s="7">
        <v>10</v>
      </c>
      <c r="E13" s="7" t="s">
        <v>52</v>
      </c>
      <c r="F13" s="7">
        <v>81</v>
      </c>
      <c r="G13" s="7">
        <v>80</v>
      </c>
      <c r="H13" s="7">
        <v>87</v>
      </c>
      <c r="I13" s="8" t="s">
        <v>65</v>
      </c>
      <c r="K13" t="s">
        <v>44</v>
      </c>
      <c r="L13">
        <f>VLOOKUP(K13, Table1[#All], 6, FALSE)</f>
        <v>87</v>
      </c>
      <c r="M13">
        <f>VLOOKUP(K13,Table1[#All],8,TRUE)</f>
        <v>96</v>
      </c>
    </row>
    <row r="14" spans="1:15" x14ac:dyDescent="0.3">
      <c r="A14" s="10" t="s">
        <v>48</v>
      </c>
      <c r="B14" s="7" t="s">
        <v>70</v>
      </c>
      <c r="C14" s="7">
        <v>16</v>
      </c>
      <c r="D14" s="7">
        <v>10</v>
      </c>
      <c r="E14" s="7" t="s">
        <v>50</v>
      </c>
      <c r="F14" s="7">
        <v>70</v>
      </c>
      <c r="G14" s="7">
        <v>87</v>
      </c>
      <c r="H14" s="7">
        <v>85</v>
      </c>
      <c r="I14" s="8" t="s">
        <v>66</v>
      </c>
      <c r="K14" t="s">
        <v>43</v>
      </c>
      <c r="L14">
        <f>VLOOKUP(K14, Table1[#All], 6, FALSE)</f>
        <v>90</v>
      </c>
      <c r="M14">
        <f>VLOOKUP(K14,Table1[#All],8,FALSE)</f>
        <v>89</v>
      </c>
    </row>
    <row r="15" spans="1:15" x14ac:dyDescent="0.3">
      <c r="A15" s="10" t="s">
        <v>42</v>
      </c>
      <c r="B15" s="7" t="s">
        <v>69</v>
      </c>
      <c r="C15" s="7">
        <v>16</v>
      </c>
      <c r="D15" s="7">
        <v>10</v>
      </c>
      <c r="E15" s="7" t="s">
        <v>50</v>
      </c>
      <c r="F15" s="7">
        <v>82</v>
      </c>
      <c r="G15" s="7">
        <v>81</v>
      </c>
      <c r="H15" s="7">
        <v>80</v>
      </c>
      <c r="I15" s="8" t="s">
        <v>59</v>
      </c>
      <c r="K15" t="s">
        <v>41</v>
      </c>
      <c r="L15">
        <f>VLOOKUP(K15, Table1[#All], 6, FALSE)</f>
        <v>88</v>
      </c>
      <c r="M15">
        <f>VLOOKUP(K15,Table1[#All],8,FALSE)</f>
        <v>96</v>
      </c>
    </row>
    <row r="16" spans="1:15" x14ac:dyDescent="0.3">
      <c r="A16" s="13" t="s">
        <v>10</v>
      </c>
      <c r="B16" s="14" t="s">
        <v>69</v>
      </c>
      <c r="C16" s="14">
        <v>16</v>
      </c>
      <c r="D16" s="14">
        <v>10</v>
      </c>
      <c r="E16" s="14" t="s">
        <v>53</v>
      </c>
      <c r="F16" s="14">
        <v>86</v>
      </c>
      <c r="G16" s="14">
        <v>81</v>
      </c>
      <c r="H16" s="14">
        <v>77</v>
      </c>
      <c r="I16" s="15" t="s">
        <v>64</v>
      </c>
      <c r="K16" t="s">
        <v>42</v>
      </c>
      <c r="L16">
        <f>VLOOKUP(K16, Table1[#All], 6, FALSE)</f>
        <v>82</v>
      </c>
      <c r="M16">
        <f>VLOOKUP(K16,Table1[#All],8,FALSE)</f>
        <v>80</v>
      </c>
      <c r="O16" s="17" t="s">
        <v>71</v>
      </c>
    </row>
    <row r="18" spans="11:12" x14ac:dyDescent="0.3">
      <c r="K18" s="41" t="s">
        <v>83</v>
      </c>
    </row>
    <row r="19" spans="11:12" x14ac:dyDescent="0.3">
      <c r="K19" s="42" t="s">
        <v>39</v>
      </c>
      <c r="L19" t="str">
        <f>VLOOKUP(K19,Table1[#All],9,FALSE)</f>
        <v>Champa@gmail.com</v>
      </c>
    </row>
    <row r="20" spans="11:12" x14ac:dyDescent="0.3">
      <c r="K20" s="42" t="s">
        <v>47</v>
      </c>
      <c r="L20" t="str">
        <f>VLOOKUP(K20,Table1[#All],9,FALSE)</f>
        <v>Sudevi@gmail.com</v>
      </c>
    </row>
    <row r="21" spans="11:12" x14ac:dyDescent="0.3">
      <c r="K21" s="42" t="s">
        <v>10</v>
      </c>
      <c r="L21" t="str">
        <f>VLOOKUP(K21,Table1[#All],9,FALSE)</f>
        <v>RNM@gmail.com</v>
      </c>
    </row>
  </sheetData>
  <mergeCells count="1">
    <mergeCell ref="A1:I1"/>
  </mergeCells>
  <phoneticPr fontId="7" type="noConversion"/>
  <hyperlinks>
    <hyperlink ref="I10" r:id="rId1" xr:uid="{F0A955E2-5AB4-4035-925D-2329A995308B}"/>
    <hyperlink ref="I3" r:id="rId2" xr:uid="{C3A28616-A1E6-4702-BEE4-5BD59DE67541}"/>
    <hyperlink ref="I7" r:id="rId3" xr:uid="{14AAD5E1-6D07-41D3-9BE3-2905329FDDBF}"/>
    <hyperlink ref="I8" r:id="rId4" xr:uid="{8B3E0EEA-8647-4F48-829D-A5AEA01A57B9}"/>
    <hyperlink ref="I11" r:id="rId5" xr:uid="{F4362BED-7658-4597-AD9C-1E34D9625F88}"/>
    <hyperlink ref="I5" r:id="rId6" xr:uid="{D3108DB0-6562-48AB-B741-AB537BA048E8}"/>
    <hyperlink ref="I14" r:id="rId7" xr:uid="{C3B69D08-3243-4701-9490-A155263457F5}"/>
    <hyperlink ref="I13" r:id="rId8" xr:uid="{62071AC8-724A-418D-BB89-37085BB33B89}"/>
    <hyperlink ref="I16" r:id="rId9" xr:uid="{1EEA543A-97E0-4308-A874-A128667C9DD7}"/>
    <hyperlink ref="I4" r:id="rId10" xr:uid="{98877B6F-6316-4E86-9673-9557EAEE0377}"/>
    <hyperlink ref="I12" r:id="rId11" xr:uid="{30FE001C-FADC-4DED-B34D-277248E88EE5}"/>
    <hyperlink ref="I9" r:id="rId12" xr:uid="{DBDD3FDD-C3A3-48CE-A74F-52768151E449}"/>
    <hyperlink ref="I6" r:id="rId13" xr:uid="{4069C3C9-867D-4159-9FD5-4D812E0E7583}"/>
    <hyperlink ref="I15" r:id="rId14" xr:uid="{63EFE8D1-CD9B-4999-870A-36E1FFC3D58C}"/>
    <hyperlink ref="A2" location="Names!A1" display="Name" xr:uid="{D81858CD-3B66-4715-B080-BF2390661DFA}"/>
  </hyperlinks>
  <pageMargins left="0.7" right="0.7" top="0.75" bottom="0.75" header="0.3" footer="0.3"/>
  <drawing r:id="rId15"/>
  <legacyDrawing r:id="rId16"/>
  <tableParts count="1">
    <tablePart r:id="rId17"/>
  </tableParts>
  <extLst>
    <ext xmlns:x15="http://schemas.microsoft.com/office/spreadsheetml/2010/11/main" uri="{3A4CF648-6AED-40f4-86FF-DC5316D8AED3}">
      <x14:slicerList xmlns:x14="http://schemas.microsoft.com/office/spreadsheetml/2009/9/main">
        <x14:slicer r:id="rId18"/>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40783-BBDD-4B6C-85BC-34DDD689DB9C}">
  <dimension ref="A2:C16"/>
  <sheetViews>
    <sheetView workbookViewId="0">
      <selection activeCell="F4" sqref="F4"/>
    </sheetView>
  </sheetViews>
  <sheetFormatPr defaultRowHeight="14.4" x14ac:dyDescent="0.3"/>
  <cols>
    <col min="1" max="1" width="20.88671875" bestFit="1" customWidth="1"/>
    <col min="3" max="3" width="20.44140625" bestFit="1" customWidth="1"/>
  </cols>
  <sheetData>
    <row r="2" spans="1:3" x14ac:dyDescent="0.3">
      <c r="A2" s="12" t="s">
        <v>36</v>
      </c>
      <c r="C2" s="12" t="s">
        <v>36</v>
      </c>
    </row>
    <row r="3" spans="1:3" x14ac:dyDescent="0.3">
      <c r="A3" s="8" t="s">
        <v>55</v>
      </c>
      <c r="C3" s="8" t="s">
        <v>38</v>
      </c>
    </row>
    <row r="4" spans="1:3" x14ac:dyDescent="0.3">
      <c r="A4" s="9" t="s">
        <v>63</v>
      </c>
      <c r="C4" s="9" t="s">
        <v>46</v>
      </c>
    </row>
    <row r="5" spans="1:3" x14ac:dyDescent="0.3">
      <c r="A5" s="8" t="s">
        <v>67</v>
      </c>
      <c r="C5" s="8" t="s">
        <v>49</v>
      </c>
    </row>
    <row r="6" spans="1:3" x14ac:dyDescent="0.3">
      <c r="A6" s="8" t="s">
        <v>60</v>
      </c>
      <c r="C6" s="8" t="s">
        <v>43</v>
      </c>
    </row>
    <row r="7" spans="1:3" x14ac:dyDescent="0.3">
      <c r="A7" s="16" t="s">
        <v>56</v>
      </c>
      <c r="C7" s="16" t="s">
        <v>39</v>
      </c>
    </row>
    <row r="8" spans="1:3" x14ac:dyDescent="0.3">
      <c r="A8" s="16" t="s">
        <v>57</v>
      </c>
      <c r="C8" s="16" t="s">
        <v>40</v>
      </c>
    </row>
    <row r="9" spans="1:3" x14ac:dyDescent="0.3">
      <c r="A9" s="8" t="s">
        <v>61</v>
      </c>
      <c r="C9" s="8" t="s">
        <v>44</v>
      </c>
    </row>
    <row r="10" spans="1:3" x14ac:dyDescent="0.3">
      <c r="A10" s="8" t="s">
        <v>54</v>
      </c>
      <c r="C10" s="8" t="s">
        <v>37</v>
      </c>
    </row>
    <row r="11" spans="1:3" x14ac:dyDescent="0.3">
      <c r="A11" s="8" t="s">
        <v>58</v>
      </c>
      <c r="C11" s="8" t="s">
        <v>41</v>
      </c>
    </row>
    <row r="12" spans="1:3" x14ac:dyDescent="0.3">
      <c r="A12" s="8" t="s">
        <v>62</v>
      </c>
      <c r="C12" s="8" t="s">
        <v>45</v>
      </c>
    </row>
    <row r="13" spans="1:3" x14ac:dyDescent="0.3">
      <c r="A13" s="8" t="s">
        <v>65</v>
      </c>
      <c r="C13" s="8" t="s">
        <v>47</v>
      </c>
    </row>
    <row r="14" spans="1:3" x14ac:dyDescent="0.3">
      <c r="A14" s="8" t="s">
        <v>66</v>
      </c>
      <c r="C14" s="8" t="s">
        <v>48</v>
      </c>
    </row>
    <row r="15" spans="1:3" x14ac:dyDescent="0.3">
      <c r="A15" s="8" t="s">
        <v>59</v>
      </c>
      <c r="C15" s="8" t="s">
        <v>42</v>
      </c>
    </row>
    <row r="16" spans="1:3" x14ac:dyDescent="0.3">
      <c r="A16" s="15" t="s">
        <v>64</v>
      </c>
      <c r="C16" s="15" t="s">
        <v>10</v>
      </c>
    </row>
  </sheetData>
  <phoneticPr fontId="7" type="noConversion"/>
  <hyperlinks>
    <hyperlink ref="A10" r:id="rId1" xr:uid="{385EF6D9-25E8-4C16-A477-16EC3F557FD3}"/>
    <hyperlink ref="A3" r:id="rId2" xr:uid="{4001507B-5CCC-4B52-8848-9A0E100C5847}"/>
    <hyperlink ref="A7" r:id="rId3" xr:uid="{341DCE6C-286A-4BCC-BD06-EE54B97DF3EA}"/>
    <hyperlink ref="A8" r:id="rId4" xr:uid="{06B540E3-370F-4356-A677-F537472032CC}"/>
    <hyperlink ref="A11" r:id="rId5" xr:uid="{136939A2-3100-48B7-9878-DC9C1A66210A}"/>
    <hyperlink ref="A5" r:id="rId6" xr:uid="{E4949C48-C371-422F-BAA6-7F07A0D0EB46}"/>
    <hyperlink ref="A14" r:id="rId7" xr:uid="{4BED7284-E171-47B0-ADC9-F9E9BE67746F}"/>
    <hyperlink ref="A13" r:id="rId8" xr:uid="{3DA20C9F-0137-43D0-8F6C-CB4F0E4A3C90}"/>
    <hyperlink ref="A16" r:id="rId9" xr:uid="{A299CE60-4CF1-419D-A2A9-167B0410B2C4}"/>
    <hyperlink ref="A4" r:id="rId10" xr:uid="{CA7E9CEC-3BC2-45A1-90BC-E33140CCD3A1}"/>
    <hyperlink ref="A12" r:id="rId11" xr:uid="{5952DC98-E986-426C-89B8-CA153933FDAD}"/>
    <hyperlink ref="A9" r:id="rId12" xr:uid="{B3F45F17-8998-4BCF-AE7F-331FC8682DEB}"/>
    <hyperlink ref="A6" r:id="rId13" xr:uid="{C33A5A75-BA7D-41DF-A46C-160A2F2025B7}"/>
    <hyperlink ref="A15" r:id="rId14" xr:uid="{F61CE899-ABA6-4F41-82B2-C44D4AC41109}"/>
    <hyperlink ref="C10" r:id="rId15" display="Abhimanyu@gmail.com" xr:uid="{119EF6E4-E8EE-4324-97BD-8D8B5854F374}"/>
    <hyperlink ref="C3" r:id="rId16" display="Arjun@gmail.com" xr:uid="{16F500D7-257D-43EF-AE4F-865609C6B3B4}"/>
    <hyperlink ref="C7" r:id="rId17" display="Champa@gmail.com" xr:uid="{30812C13-C845-4EF2-A2FD-BE181689AE6F}"/>
    <hyperlink ref="C8" r:id="rId18" display="Gopal@gmail.com" xr:uid="{CCA7CAB9-E558-4FA9-A753-4B24BA5CDAFC}"/>
    <hyperlink ref="C11" r:id="rId19" display="Gopi@gmail.com" xr:uid="{B92ADB54-2225-4D71-9A0F-EB1DD7F07B0B}"/>
    <hyperlink ref="C5" r:id="rId20" display="Vrinda@gmail.com" xr:uid="{46718B42-E852-4EDD-A457-1E20D81AFBC9}"/>
    <hyperlink ref="C14" r:id="rId21" display="Visakha@gmail.com" xr:uid="{C706A1E8-DD05-4C40-9A17-D46DF0F96653}"/>
    <hyperlink ref="C13" r:id="rId22" display="Sudevi@gmail.com" xr:uid="{CED195BC-E64B-400C-B919-713897D1DC5F}"/>
    <hyperlink ref="C16" r:id="rId23" display="RNM@gmail.com" xr:uid="{C788F300-3CF5-4B4B-85D5-2253B516C09C}"/>
    <hyperlink ref="C4" r:id="rId24" display="madhav@gmail.com" xr:uid="{C0A24686-6E27-497B-BD4C-EEE23ED8CE8C}"/>
    <hyperlink ref="C12" r:id="rId25" display="lalita@gmail.com" xr:uid="{F176F259-B3B0-442C-9803-7E5417E0A9E9}"/>
    <hyperlink ref="C9" r:id="rId26" display="Keshav@gmail.com" xr:uid="{CB6279EE-D2ED-4C00-B62F-B07060693E7C}"/>
    <hyperlink ref="C6" r:id="rId27" display="Indu@gmail.com" xr:uid="{5BB62AE5-EE43-4AB1-A17B-9324D64FD4E7}"/>
    <hyperlink ref="C15" r:id="rId28" display="Hari@gmail.com" xr:uid="{6D0DAFD1-45FA-46FC-863F-6718780798F0}"/>
  </hyperlinks>
  <pageMargins left="0.7" right="0.7" top="0.75" bottom="0.75" header="0.3" footer="0.3"/>
  <legacyDrawing r:id="rId2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F9E80-02BF-4172-A345-FFE97E252A1F}">
  <dimension ref="A1:B15"/>
  <sheetViews>
    <sheetView topLeftCell="A3" zoomScale="189" zoomScaleNormal="189" workbookViewId="0">
      <selection activeCell="I8" sqref="I8"/>
    </sheetView>
  </sheetViews>
  <sheetFormatPr defaultRowHeight="14.4" x14ac:dyDescent="0.3"/>
  <sheetData>
    <row r="1" spans="1:2" x14ac:dyDescent="0.3">
      <c r="A1" s="30" t="s">
        <v>28</v>
      </c>
      <c r="B1" s="20" t="s">
        <v>35</v>
      </c>
    </row>
    <row r="2" spans="1:2" x14ac:dyDescent="0.3">
      <c r="A2" s="31" t="s">
        <v>38</v>
      </c>
      <c r="B2" s="21">
        <v>91</v>
      </c>
    </row>
    <row r="3" spans="1:2" x14ac:dyDescent="0.3">
      <c r="A3" s="10" t="s">
        <v>46</v>
      </c>
      <c r="B3" s="7">
        <v>89</v>
      </c>
    </row>
    <row r="4" spans="1:2" x14ac:dyDescent="0.3">
      <c r="A4" s="31" t="s">
        <v>49</v>
      </c>
      <c r="B4" s="21">
        <v>98</v>
      </c>
    </row>
    <row r="5" spans="1:2" x14ac:dyDescent="0.3">
      <c r="A5" s="10" t="s">
        <v>43</v>
      </c>
      <c r="B5" s="7">
        <v>89</v>
      </c>
    </row>
    <row r="6" spans="1:2" x14ac:dyDescent="0.3">
      <c r="A6" s="31" t="s">
        <v>39</v>
      </c>
      <c r="B6" s="21">
        <v>88</v>
      </c>
    </row>
    <row r="7" spans="1:2" x14ac:dyDescent="0.3">
      <c r="A7" s="10" t="s">
        <v>40</v>
      </c>
      <c r="B7" s="7">
        <v>79</v>
      </c>
    </row>
    <row r="8" spans="1:2" x14ac:dyDescent="0.3">
      <c r="A8" s="31" t="s">
        <v>44</v>
      </c>
      <c r="B8" s="21">
        <v>96</v>
      </c>
    </row>
    <row r="9" spans="1:2" x14ac:dyDescent="0.3">
      <c r="A9" s="10" t="s">
        <v>37</v>
      </c>
      <c r="B9" s="7">
        <v>99</v>
      </c>
    </row>
    <row r="10" spans="1:2" x14ac:dyDescent="0.3">
      <c r="A10" s="31" t="s">
        <v>41</v>
      </c>
      <c r="B10" s="21">
        <v>96</v>
      </c>
    </row>
    <row r="11" spans="1:2" x14ac:dyDescent="0.3">
      <c r="A11" s="10" t="s">
        <v>45</v>
      </c>
      <c r="B11" s="7">
        <v>92</v>
      </c>
    </row>
    <row r="12" spans="1:2" x14ac:dyDescent="0.3">
      <c r="A12" s="31" t="s">
        <v>47</v>
      </c>
      <c r="B12" s="21">
        <v>87</v>
      </c>
    </row>
    <row r="13" spans="1:2" x14ac:dyDescent="0.3">
      <c r="A13" s="10" t="s">
        <v>48</v>
      </c>
      <c r="B13" s="7">
        <v>85</v>
      </c>
    </row>
    <row r="14" spans="1:2" x14ac:dyDescent="0.3">
      <c r="A14" s="31" t="s">
        <v>42</v>
      </c>
      <c r="B14" s="21">
        <v>80</v>
      </c>
    </row>
    <row r="15" spans="1:2" x14ac:dyDescent="0.3">
      <c r="A15" s="10" t="s">
        <v>10</v>
      </c>
      <c r="B15" s="7">
        <v>77</v>
      </c>
    </row>
  </sheetData>
  <hyperlinks>
    <hyperlink ref="A1" location="Names!A1" display="Name" xr:uid="{B16F8AB3-6E70-4163-848A-CD829CB0645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FBB82-7414-4197-BCB2-4533072E44EA}">
  <dimension ref="A1:I16"/>
  <sheetViews>
    <sheetView workbookViewId="0">
      <selection activeCell="I6" sqref="I6"/>
    </sheetView>
  </sheetViews>
  <sheetFormatPr defaultRowHeight="14.4" x14ac:dyDescent="0.3"/>
  <cols>
    <col min="1" max="1" width="10.21875" bestFit="1" customWidth="1"/>
    <col min="8" max="9" width="10.44140625" customWidth="1"/>
  </cols>
  <sheetData>
    <row r="1" spans="1:9" ht="15" thickBot="1" x14ac:dyDescent="0.35"/>
    <row r="2" spans="1:9" x14ac:dyDescent="0.3">
      <c r="A2" s="18"/>
      <c r="B2" s="20"/>
      <c r="C2" s="20"/>
      <c r="E2" t="s">
        <v>76</v>
      </c>
      <c r="H2" s="22" t="s">
        <v>79</v>
      </c>
      <c r="I2" s="23" t="s">
        <v>80</v>
      </c>
    </row>
    <row r="3" spans="1:9" x14ac:dyDescent="0.3">
      <c r="A3" s="10"/>
      <c r="B3" s="21"/>
      <c r="C3" s="21"/>
      <c r="E3">
        <v>79</v>
      </c>
      <c r="H3" s="24" t="s">
        <v>77</v>
      </c>
      <c r="I3" s="25" t="s">
        <v>78</v>
      </c>
    </row>
    <row r="4" spans="1:9" x14ac:dyDescent="0.3">
      <c r="A4" s="10"/>
      <c r="B4" s="7"/>
      <c r="C4" s="7"/>
      <c r="E4">
        <v>80</v>
      </c>
      <c r="H4" s="24" t="s">
        <v>72</v>
      </c>
      <c r="I4" s="25">
        <v>79</v>
      </c>
    </row>
    <row r="5" spans="1:9" x14ac:dyDescent="0.3">
      <c r="A5" s="10"/>
      <c r="B5" s="21"/>
      <c r="C5" s="21"/>
      <c r="E5">
        <v>86</v>
      </c>
      <c r="H5" s="24" t="s">
        <v>73</v>
      </c>
      <c r="I5" s="25">
        <v>90</v>
      </c>
    </row>
    <row r="6" spans="1:9" x14ac:dyDescent="0.3">
      <c r="A6" s="10"/>
      <c r="B6" s="7"/>
      <c r="C6" s="7"/>
      <c r="E6">
        <v>90</v>
      </c>
      <c r="H6" s="24" t="s">
        <v>74</v>
      </c>
      <c r="I6" s="25">
        <v>86</v>
      </c>
    </row>
    <row r="7" spans="1:9" x14ac:dyDescent="0.3">
      <c r="A7" s="10"/>
      <c r="B7" s="21"/>
      <c r="C7" s="21"/>
      <c r="H7" s="26" t="s">
        <v>75</v>
      </c>
      <c r="I7" s="25">
        <v>80</v>
      </c>
    </row>
    <row r="8" spans="1:9" x14ac:dyDescent="0.3">
      <c r="A8" s="10"/>
      <c r="B8" s="7"/>
      <c r="C8" s="7"/>
    </row>
    <row r="9" spans="1:9" x14ac:dyDescent="0.3">
      <c r="A9" s="10"/>
      <c r="B9" s="21"/>
      <c r="C9" s="21"/>
    </row>
    <row r="10" spans="1:9" x14ac:dyDescent="0.3">
      <c r="A10" s="10"/>
      <c r="B10" s="7"/>
      <c r="C10" s="7"/>
    </row>
    <row r="11" spans="1:9" x14ac:dyDescent="0.3">
      <c r="A11" s="10"/>
      <c r="B11" s="21"/>
      <c r="C11" s="21"/>
    </row>
    <row r="12" spans="1:9" x14ac:dyDescent="0.3">
      <c r="A12" s="10"/>
      <c r="B12" s="7"/>
      <c r="C12" s="7"/>
    </row>
    <row r="13" spans="1:9" x14ac:dyDescent="0.3">
      <c r="A13" s="10"/>
      <c r="B13" s="21"/>
      <c r="C13" s="21"/>
    </row>
    <row r="14" spans="1:9" x14ac:dyDescent="0.3">
      <c r="A14" s="10"/>
      <c r="B14" s="7"/>
      <c r="C14" s="7"/>
    </row>
    <row r="15" spans="1:9" x14ac:dyDescent="0.3">
      <c r="A15" s="10"/>
      <c r="B15" s="21"/>
      <c r="C15" s="21"/>
    </row>
    <row r="16" spans="1:9" x14ac:dyDescent="0.3">
      <c r="A16" s="10"/>
      <c r="B16" s="7"/>
      <c r="C16" s="7"/>
    </row>
  </sheetData>
  <dataValidations count="1">
    <dataValidation type="list" allowBlank="1" showInputMessage="1" showErrorMessage="1" sqref="I4:I7" xr:uid="{8C7FC531-BA78-4A6D-BF58-217EEBD30BD0}">
      <formula1>$E$3:$E$6</formula1>
    </dataValidation>
  </dataValidation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5F6D87-467F-4DF2-8011-ABF2E61C8E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Basics</vt:lpstr>
      <vt:lpstr>Basics 2</vt:lpstr>
      <vt:lpstr>Sheet2</vt:lpstr>
      <vt:lpstr>Sheet3</vt:lpstr>
      <vt:lpstr>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𝓛𝓮𝓿𝓲 𝟎𝟕</dc:creator>
  <cp:lastModifiedBy>𝓛𝓮𝓿𝓲 𝟎𝟕</cp:lastModifiedBy>
  <cp:lastPrinted>2025-04-17T12:11:32Z</cp:lastPrinted>
  <dcterms:created xsi:type="dcterms:W3CDTF">2025-04-16T19:36:22Z</dcterms:created>
  <dcterms:modified xsi:type="dcterms:W3CDTF">2025-04-19T08:23:51Z</dcterms:modified>
</cp:coreProperties>
</file>